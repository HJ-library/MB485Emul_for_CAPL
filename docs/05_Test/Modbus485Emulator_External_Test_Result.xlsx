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17a934ee5c40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6d82b3a9a5984069"/>
    <x:sheet xmlns:r="http://schemas.openxmlformats.org/officeDocument/2006/relationships" name="Environment" sheetId="2" r:id="R738cad2d2e3749df"/>
    <x:sheet xmlns:r="http://schemas.openxmlformats.org/officeDocument/2006/relationships" name="Summary" sheetId="3" r:id="Rea7eb35be2f34b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be35a597034645" /><Relationship Type="http://schemas.openxmlformats.org/officeDocument/2006/relationships/theme" Target="/xl/theme/theme1.xml" Id="R0f55af44aacd4322" /><Relationship Type="http://schemas.openxmlformats.org/officeDocument/2006/relationships/sharedStrings" Target="/xl/sharedStrings.xml" Id="R04d163d5aa9d4552" /><Relationship Type="http://schemas.openxmlformats.org/officeDocument/2006/relationships/worksheet" Target="/xl/worksheets/sheet1.xml" Id="R6d82b3a9a5984069" /><Relationship Type="http://schemas.openxmlformats.org/officeDocument/2006/relationships/worksheet" Target="/xl/worksheets/sheet2.xml" Id="R738cad2d2e3749df" /><Relationship Type="http://schemas.openxmlformats.org/officeDocument/2006/relationships/worksheet" Target="/xl/worksheets/sheet3.xml" Id="Rea7eb35be2f34b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v0.2.0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IF-API-001~021, COMP-001, COMP-002, COMP-015</x:v>
      </x:c>
      <x:c r="D5" s="16" t="str">
        <x:v>CANalyzer 9.x SP8 x86 / CANalyzer 18 x64</x:v>
      </x:c>
      <x:c r="E5" s="16" t="str">
        <x:v>CAPL Compile 및 직접 DLL/.vmodule 로드</x:v>
      </x:c>
      <x:c r="F5" s="16" t="str">
        <x:v>두 환경에서 21개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DeviceMap/FrameRule 두 상대경로와 참조 Register Map 준비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7/8/9</x:v>
      </x:c>
      <x:c r="C7" s="16" t="str">
        <x:v>FR-PORT-007~020, TBD-038</x:v>
      </x:c>
      <x:c r="D7" s="16" t="str">
        <x:v>CANalyzer + Multi USB 485</x:v>
      </x:c>
      <x:c r="E7" s="16" t="str">
        <x:v>1~4개 활성 COM Port 전체 Connect와 CAPL/CSV 활성 Port 수 확인</x:v>
      </x:c>
      <x:c r="F7" s="16" t="str">
        <x:v>모든 활성 Port가 열릴 때만 Connected; 일부 실패 시 전체 Rollback; ActivePortCount와 Device CSV 고유 Port 수 일치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동일값 Snapshot 없음;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Snapshot Quantity 6</x:v>
      </x:c>
      <x:c r="F12" s="16" t="str">
        <x:v>0x80 Header 1 + Data 2, 마지막 DLC 4</x:v>
      </x:c>
      <x:c r="G12" s="16" t="str"/>
      <x:c r="H12" s="16" t="str">
        <x:v>Not Tested</x:v>
      </x:c>
      <x:c r="I12" s="16" t="str"/>
      <x:c r="J12" s="16" t="str"/>
    </x:row>
    <x:row r="13" ht="15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변경 Snapshot</x:v>
      </x:c>
      <x:c r="F13" s="16" t="str">
        <x:v>0x81 SourceType 01/02/03 및 변경 당시 값 보존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1~4 virtual CAN channels</x:v>
      </x:c>
      <x:c r="E14" s="16" t="str">
        <x:v>여러 활성 Port 동시 Change Burst</x:v>
      </x:c>
      <x:c r="F14" s="16" t="str">
        <x:v>활성 Port Round-robin, Port 내부 FIFO, Snapshot 묶음 비분할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26.399999618530273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Write Data[122] 및 Signal Control</x:v>
      </x:c>
      <x:c r="F16" s="16" t="str">
        <x:v>Send 시 요청 Snapshot 사용, Quantity 1~122와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현재 출력 유지</x:v>
      </x:c>
      <x:c r="G17" s="16" t="str"/>
      <x:c r="H17" s="16" t="str">
        <x:v>Not Tested</x:v>
      </x:c>
      <x:c r="I17" s="16" t="str"/>
      <x:c r="J17" s="16" t="str"/>
    </x:row>
    <x:row r="18" ht="26.399999618530273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모든 활성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39.599998474121094" hidden="0" customHeight="1">
      <x:c r="A20" s="17" t="str">
        <x:v>EV-016</x:v>
      </x:c>
      <x:c r="B20" s="16" t="str">
        <x:v>6/9/10</x:v>
      </x:c>
      <x:c r="C20" s="16" t="str">
        <x:v>PERF-004~021, LOG-011~017, REQ-DIAG-002, TBD-027, TBD-030, TBD-039</x:v>
      </x:c>
      <x:c r="D20" s="16" t="str">
        <x:v>200 Rule stress profile</x:v>
      </x:c>
      <x:c r="E20" s="16" t="str">
        <x:v>200 Rule, Quantity 125, 0x81 Burst 및 Error Queue overflow</x:v>
      </x:c>
      <x:c r="F20" s="16" t="str">
        <x:v>RTU 영향 없이 0x81 100ms/0x80 1000ms 목표를 유지하고 DropCount 또는 OverflowLatch 변화 시 CAPL이 Pending/Capacity/High-water를 한 번 진단</x:v>
      </x:c>
      <x:c r="G20" s="16" t="str"/>
      <x:c r="H20" s="16" t="str">
        <x:v>Not Tested</x:v>
      </x:c>
      <x:c r="I20" s="16" t="str"/>
      <x:c r="J20" s="16" t="str"/>
    </x:row>
  </x:sheetData>
  <x:mergeCells>
    <x:mergeCell ref="A1:J1"/>
    <x:mergeCell ref="A2:J2"/>
  </x:mergeCells>
  <x:conditionalFormatting sqref="H5:H20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0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Release Version</x:v>
      </x:c>
      <x:c r="C4" s="16" t="str">
        <x:v>0.2.0</x:v>
      </x:c>
      <x:c r="D4" s="16" t="str">
        <x:v>Release Baseline</x:v>
      </x:c>
    </x:row>
    <x:row r="5" ht="15" hidden="0" customHeight="1">
      <x:c r="A5" s="16" t="str">
        <x:v>Baseline</x:v>
      </x:c>
      <x:c r="B5" s="16" t="str">
        <x:v>Baseline Date</x:v>
      </x:c>
      <x:c r="C5" s="16" t="str">
        <x:v>2026-08-12</x:v>
      </x:c>
      <x:c r="D5" s="16" t="str">
        <x:v>docs/REQUIREMENTS_SPEC.md</x:v>
      </x:c>
    </x:row>
    <x:row r="6" ht="15" hidden="0" customHeight="1">
      <x:c r="A6" s="16" t="str">
        <x:v>Baseline</x:v>
      </x:c>
      <x:c r="B6" s="16" t="str">
        <x:v>Git Commit</x:v>
      </x:c>
      <x:c r="C6" s="16" t="str"/>
      <x:c r="D6" s="16" t="str"/>
    </x:row>
    <x:row r="7" ht="15" hidden="0" customHeight="1">
      <x:c r="A7" s="16" t="str">
        <x:v>Baseline</x:v>
      </x:c>
      <x:c r="B7" s="16" t="str">
        <x:v>M485E.dll SHA-256</x:v>
      </x:c>
      <x:c r="C7" s="16" t="str"/>
      <x:c r="D7" s="16" t="str"/>
    </x:row>
    <x:row r="8" ht="26.399999618530273" hidden="0" customHeight="1">
      <x:c r="A8" s="16" t="str">
        <x:v>Baseline</x:v>
      </x:c>
      <x:c r="B8" s="16" t="str">
        <x:v>Generated Contracts</x:v>
      </x:c>
      <x:c r="C8" s="16" t="str">
        <x:v>ErrorCodes=90; PublicConstants=185</x:v>
      </x:c>
      <x:c r="D8" s="16" t="str">
        <x:v>tests/contracts/Test-M485EContractGeneration.ps1</x:v>
      </x:c>
    </x:row>
    <x:row r="9" ht="15" hidden="0" customHeight="1">
      <x:c r="A9" s="16" t="str">
        <x:v>CANalyzer</x:v>
      </x:c>
      <x:c r="B9" s="16" t="str">
        <x:v>Version / Service Pack</x:v>
      </x:c>
      <x:c r="C9" s="16" t="str">
        <x:v>CANalyzer 9.x SP8 x86 / CANalyzer 18 x64</x:v>
      </x:c>
      <x:c r="D9" s="16" t="str"/>
    </x:row>
    <x:row r="10" ht="15" hidden="0" customHeight="1">
      <x:c r="A10" s="16" t="str">
        <x:v>Vector</x:v>
      </x:c>
      <x:c r="B10" s="16" t="str">
        <x:v>Driver / License</x:v>
      </x:c>
      <x:c r="C10" s="16" t="str"/>
      <x:c r="D10" s="16" t="str"/>
    </x:row>
    <x:row r="11" ht="15" hidden="0" customHeight="1">
      <x:c r="A11" s="16" t="str">
        <x:v>Adapter</x:v>
      </x:c>
      <x:c r="B11" s="16" t="str">
        <x:v>Model</x:v>
      </x:c>
      <x:c r="C11" s="16" t="str">
        <x:v>SystemBase Multi USB 485</x:v>
      </x:c>
      <x:c r="D11" s="16" t="str">
        <x:v>Automatic direction control</x:v>
      </x:c>
    </x:row>
    <x:row r="12" ht="15" hidden="0" customHeight="1">
      <x:c r="A12" s="16" t="str">
        <x:v>Serial Port 0</x:v>
      </x:c>
      <x:c r="B12" s="16" t="str">
        <x:v>COM / Baud / Data / Parity / Stop</x:v>
      </x:c>
      <x:c r="C12" s="16" t="str"/>
      <x:c r="D12" s="16" t="str"/>
    </x:row>
    <x:row r="13" ht="15" hidden="0" customHeight="1">
      <x:c r="A13" s="16" t="str">
        <x:v>Serial Port 1</x:v>
      </x:c>
      <x:c r="B13" s="16" t="str">
        <x:v>COM / Baud / Data / Parity / Stop</x:v>
      </x:c>
      <x:c r="C13" s="16" t="str"/>
      <x:c r="D13" s="16" t="str"/>
    </x:row>
    <x:row r="14" ht="15" hidden="0" customHeight="1">
      <x:c r="A14" s="16" t="str">
        <x:v>Serial Port 2</x:v>
      </x:c>
      <x:c r="B14" s="16" t="str">
        <x:v>COM / Baud / Data / Parity / Stop</x:v>
      </x:c>
      <x:c r="C14" s="16" t="str"/>
      <x:c r="D14" s="16" t="str"/>
    </x:row>
    <x:row r="15" ht="15" hidden="0" customHeight="1">
      <x:c r="A15" s="16" t="str">
        <x:v>Serial Port 3</x:v>
      </x:c>
      <x:c r="B15" s="16" t="str">
        <x:v>COM / Baud / Data / Parity / Stop</x:v>
      </x:c>
      <x:c r="C15" s="16" t="str"/>
      <x:c r="D15" s="16" t="str"/>
    </x:row>
    <x:row r="16" ht="15" hidden="0" customHeight="1">
      <x:c r="A16" s="16" t="str">
        <x:v>Board</x:v>
      </x:c>
      <x:c r="B16" s="16" t="str">
        <x:v>Model / Firmware</x:v>
      </x:c>
      <x:c r="C16" s="16" t="str"/>
      <x:c r="D16" s="16" t="str"/>
    </x:row>
    <x:row r="17" ht="15" hidden="0" customHeight="1">
      <x:c r="A17" s="16" t="str">
        <x:v>Board</x:v>
      </x:c>
      <x:c r="B17" s="16" t="str">
        <x:v>Modbus Master Response Timeout</x:v>
      </x:c>
      <x:c r="C17" s="16" t="str"/>
      <x:c r="D17" s="16" t="str">
        <x:v>ms</x:v>
      </x:c>
    </x:row>
    <x:row r="18" ht="15" hidden="0" customHeight="1">
      <x:c r="A18" s="16" t="str">
        <x:v>CAN</x:v>
      </x:c>
      <x:c r="B18" s="16" t="str">
        <x:v>Channel mapping</x:v>
      </x:c>
      <x:c r="C18" s="16" t="str">
        <x:v>PortSlot 0~3→Virtual CAN 1~4 (활성 Port만)</x:v>
      </x:c>
      <x:c r="D18" s="16" t="str"/>
    </x:row>
    <x:row r="19" ht="15" hidden="0" customHeight="1">
      <x:c r="A19" s="16" t="str">
        <x:v>Test</x:v>
      </x:c>
      <x:c r="B19" s="16" t="str">
        <x:v>Operator / Date</x:v>
      </x:c>
      <x:c r="C19" s="16" t="str"/>
      <x:c r="D19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Results'!$H$5:$H$20,A4)</x:f>
        <x:v>16</x:v>
      </x:c>
    </x:row>
    <x:row r="5">
      <x:c r="A5" s="14" t="str">
        <x:v>PASS</x:v>
      </x:c>
      <x:c r="B5" s="14" t="n">
        <x:f>COUNTIF('Test Results'!$H$5:$H$20,A5)</x:f>
        <x:v>0</x:v>
      </x:c>
    </x:row>
    <x:row r="6">
      <x:c r="A6" s="14" t="str">
        <x:v>FAIL</x:v>
      </x:c>
      <x:c r="B6" s="14" t="n">
        <x:f>COUNTIF('Test Results'!$H$5:$H$20,A6)</x:f>
        <x:v>0</x:v>
      </x:c>
    </x:row>
    <x:row r="7">
      <x:c r="A7" s="14" t="str">
        <x:v>Blocked</x:v>
      </x:c>
      <x:c r="B7" s="14" t="n">
        <x:f>COUNTIF('Test Results'!$H$5:$H$20,A7)</x:f>
        <x:v>0</x:v>
      </x:c>
    </x:row>
    <x:row r="8">
      <x:c r="A8" s="14" t="str">
        <x:v>N/A</x:v>
      </x:c>
      <x:c r="B8" s="14" t="n">
        <x:f>COUNTIF('Test Results'!$H$5:$H$20,A8)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