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fb379b8f4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sults" sheetId="1" r:id="Rc1a011c3c8e74484"/>
    <x:sheet xmlns:r="http://schemas.openxmlformats.org/officeDocument/2006/relationships" name="Environment" sheetId="2" r:id="Rdf2713a89a96435f"/>
    <x:sheet xmlns:r="http://schemas.openxmlformats.org/officeDocument/2006/relationships" name="Summary" sheetId="3" r:id="Rf128fa516d3e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3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63c17592c4289" /><Relationship Type="http://schemas.openxmlformats.org/officeDocument/2006/relationships/theme" Target="/xl/theme/theme1.xml" Id="Rb1fca4e68917425d" /><Relationship Type="http://schemas.openxmlformats.org/officeDocument/2006/relationships/sharedStrings" Target="/xl/sharedStrings.xml" Id="R0b8d51da071448b0" /><Relationship Type="http://schemas.openxmlformats.org/officeDocument/2006/relationships/worksheet" Target="/xl/worksheets/sheet1.xml" Id="Rc1a011c3c8e74484" /><Relationship Type="http://schemas.openxmlformats.org/officeDocument/2006/relationships/worksheet" Target="/xl/worksheets/sheet2.xml" Id="Rdf2713a89a96435f" /><Relationship Type="http://schemas.openxmlformats.org/officeDocument/2006/relationships/worksheet" Target="/xl/worksheets/sheet3.xml" Id="Rf128fa516d3e42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34" hidden="0" customWidth="1"/>
    <x:col min="4" max="4" width="25" hidden="0" customWidth="1"/>
    <x:col min="5" max="5" width="34" hidden="0" customWidth="1"/>
    <x:col min="6" max="6" width="48" hidden="0" customWidth="1"/>
    <x:col min="7" max="7" width="42" hidden="0" customWidth="1"/>
    <x:col min="8" max="8" width="14" hidden="0" customWidth="1"/>
    <x:col min="9" max="9" width="28" hidden="0" customWidth="1"/>
    <x:col min="10" max="10" width="30" hidden="0" customWidth="1"/>
  </x:cols>
  <x:sheetData>
    <x:row r="1" ht="30" customHeight="1">
      <x:c r="A1" s="4" t="str">
        <x:v>Modbus485Emulator v0.3.0 External Test Results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7" t="str">
        <x:v>실행하지 않은 시험은 Result = Not Tested로 유지합니다.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Test ID</x:v>
      </x:c>
      <x:c r="B4" s="13" t="str">
        <x:v>Phase</x:v>
      </x:c>
      <x:c r="C4" s="13" t="str">
        <x:v>Requirement ID</x:v>
      </x:c>
      <x:c r="D4" s="13" t="str">
        <x:v>Test Environment</x:v>
      </x:c>
      <x:c r="E4" s="13" t="str">
        <x:v>Test Description</x:v>
      </x:c>
      <x:c r="F4" s="13" t="str">
        <x:v>Expected Result</x:v>
      </x:c>
      <x:c r="G4" s="13" t="str">
        <x:v>Actual Result</x:v>
      </x:c>
      <x:c r="H4" s="13" t="str">
        <x:v>Result</x:v>
      </x:c>
      <x:c r="I4" s="13" t="str">
        <x:v>Evidence</x:v>
      </x:c>
      <x:c r="J4" s="13" t="str">
        <x:v>Notes</x:v>
      </x:c>
    </x:row>
    <x:row r="5" ht="26.399999618530273" hidden="0" customHeight="1">
      <x:c r="A5" s="17" t="str">
        <x:v>EV-001</x:v>
      </x:c>
      <x:c r="B5" s="16" t="str">
        <x:v>1/2</x:v>
      </x:c>
      <x:c r="C5" s="16" t="str">
        <x:v>IF-API-001~026, COMP-001, COMP-002, COMP-015</x:v>
      </x:c>
      <x:c r="D5" s="16" t="str">
        <x:v>CANalyzer 9.x SP8 x86 / CANalyzer 18 x64</x:v>
      </x:c>
      <x:c r="E5" s="16" t="str">
        <x:v>CAPL Compile 및 직접 DLL/.vmodule 로드</x:v>
      </x:c>
      <x:c r="F5" s="16" t="str">
        <x:v>두 환경에서 26개 API가 중복·누락 없이 Compile되고 Measurement가 시작됨</x:v>
      </x:c>
      <x:c r="G5" s="16" t="str"/>
      <x:c r="H5" s="16" t="str">
        <x:v>Not Tested</x:v>
      </x:c>
      <x:c r="I5" s="16" t="str"/>
      <x:c r="J5" s="16" t="str"/>
    </x:row>
    <x:row r="6" ht="26.399999618530273" hidden="0" customHeight="1">
      <x:c r="A6" s="17" t="str">
        <x:v>EV-002</x:v>
      </x:c>
      <x:c r="B6" s="16" t="str">
        <x:v>3/8</x:v>
      </x:c>
      <x:c r="C6" s="16" t="str">
        <x:v>FR-CSV-001~018, FR-LIFE-010~015</x:v>
      </x:c>
      <x:c r="D6" s="16" t="str">
        <x:v>CANalyzer 9.x SP8 x86</x:v>
      </x:c>
      <x:c r="E6" s="16" t="str">
        <x:v>DeviceMap/FrameRule 두 상대경로와 참조 Register Map 준비 후 비동기 Refresh Polling</x:v>
      </x:c>
      <x:c r="F6" s="16" t="str">
        <x:v>Disconnected, ConfigurationValid=1, LastResult=0</x:v>
      </x:c>
      <x:c r="G6" s="16" t="str"/>
      <x:c r="H6" s="16" t="str">
        <x:v>Not Tested</x:v>
      </x:c>
      <x:c r="I6" s="16" t="str"/>
      <x:c r="J6" s="16" t="str"/>
    </x:row>
    <x:row r="7" ht="26.399999618530273" hidden="0" customHeight="1">
      <x:c r="A7" s="17" t="str">
        <x:v>EV-003</x:v>
      </x:c>
      <x:c r="B7" s="16" t="str">
        <x:v>7/8/9</x:v>
      </x:c>
      <x:c r="C7" s="16" t="str">
        <x:v>FR-PORT-007~020, TBD-038</x:v>
      </x:c>
      <x:c r="D7" s="16" t="str">
        <x:v>CANalyzer + Multi USB 485</x:v>
      </x:c>
      <x:c r="E7" s="16" t="str">
        <x:v>1~4개 활성 COM Port 전체 Connect와 CAPL/CSV 활성 Port 수 확인</x:v>
      </x:c>
      <x:c r="F7" s="16" t="str">
        <x:v>모든 활성 Port가 열릴 때만 Connected; 일부 실패 시 전체 Rollback; ActivePortCount와 Device CSV 고유 Port 수 일치</x:v>
      </x:c>
      <x:c r="G7" s="16" t="str"/>
      <x:c r="H7" s="16" t="str">
        <x:v>Not Tested</x:v>
      </x:c>
      <x:c r="I7" s="16" t="str"/>
      <x:c r="J7" s="16" t="str"/>
    </x:row>
    <x:row r="8" ht="15" hidden="0" customHeight="1">
      <x:c r="A8" s="17" t="str">
        <x:v>EV-004</x:v>
      </x:c>
      <x:c r="B8" s="16" t="str">
        <x:v>5/7</x:v>
      </x:c>
      <x:c r="C8" s="16" t="str">
        <x:v>FR-RTU-002, FR-RTU-017, FR-RTU-028</x:v>
      </x:c>
      <x:c r="D8" s="16" t="str">
        <x:v>Board + Serial trace</x:v>
      </x:c>
      <x:c r="E8" s="16" t="str">
        <x:v>Port별 Slave FC03 Quantity 1/125</x:v>
      </x:c>
      <x:c r="F8" s="16" t="str">
        <x:v>직접 Address Holding 값과 올바른 CRC 응답</x:v>
      </x:c>
      <x:c r="G8" s="16" t="str"/>
      <x:c r="H8" s="16" t="str">
        <x:v>Not Tested</x:v>
      </x:c>
      <x:c r="I8" s="16" t="str"/>
      <x:c r="J8" s="16" t="str"/>
    </x:row>
    <x:row r="9" ht="15" hidden="0" customHeight="1">
      <x:c r="A9" s="17" t="str">
        <x:v>EV-005</x:v>
      </x:c>
      <x:c r="B9" s="16" t="str">
        <x:v>5/7</x:v>
      </x:c>
      <x:c r="C9" s="16" t="str">
        <x:v>FR-RTU-003, FR-RTU-011, FR-RTU-020</x:v>
      </x:c>
      <x:c r="D9" s="16" t="str">
        <x:v>Board + Serial trace</x:v>
      </x:c>
      <x:c r="E9" s="16" t="str">
        <x:v>FC04 정상 및 권한 공백</x:v>
      </x:c>
      <x:c r="F9" s="16" t="str">
        <x:v>정상값 또는 Exception 0x02, 부분 응답 없음</x:v>
      </x:c>
      <x:c r="G9" s="16" t="str"/>
      <x:c r="H9" s="16" t="str">
        <x:v>Not Tested</x:v>
      </x:c>
      <x:c r="I9" s="16" t="str"/>
      <x:c r="J9" s="16" t="str"/>
    </x:row>
    <x:row r="10" ht="26.399999618530273" hidden="0" customHeight="1">
      <x:c r="A10" s="17" t="str">
        <x:v>EV-006</x:v>
      </x:c>
      <x:c r="B10" s="16" t="str">
        <x:v>4/5/7</x:v>
      </x:c>
      <x:c r="C10" s="16" t="str">
        <x:v>FR-RTU-004~005, FR-RTU-031, FR-REG-010~018</x:v>
      </x:c>
      <x:c r="D10" s="16" t="str">
        <x:v>Board + CAN Trace</x:v>
      </x:c>
      <x:c r="E10" s="16" t="str">
        <x:v>FC10 정상·동일값·권한 공백 Write</x:v>
      </x:c>
      <x:c r="F10" s="16" t="str">
        <x:v>원자 적용; 동일값 Snapshot 없음; 공백은 0x02 및 무변경</x:v>
      </x:c>
      <x:c r="G10" s="16" t="str"/>
      <x:c r="H10" s="16" t="str">
        <x:v>Not Tested</x:v>
      </x:c>
      <x:c r="I10" s="16" t="str"/>
      <x:c r="J10" s="16" t="str"/>
    </x:row>
    <x:row r="11" ht="15" hidden="0" customHeight="1">
      <x:c r="A11" s="17" t="str">
        <x:v>EV-007</x:v>
      </x:c>
      <x:c r="B11" s="16" t="str">
        <x:v>5/7</x:v>
      </x:c>
      <x:c r="C11" s="16" t="str">
        <x:v>FR-RTU-016, FR-RTU-019, FR-RTU-026~033</x:v>
      </x:c>
      <x:c r="D11" s="16" t="str">
        <x:v>Board + Serial trace</x:v>
      </x:c>
      <x:c r="E11" s="16" t="str">
        <x:v>CRC 오류, FC06, Quantity/ByteCount 오류</x:v>
      </x:c>
      <x:c r="F11" s="16" t="str">
        <x:v>CRC 무응답; FC06=0x01; 값 오류=0x03</x:v>
      </x:c>
      <x:c r="G11" s="16" t="str"/>
      <x:c r="H11" s="16" t="str">
        <x:v>Not Tested</x:v>
      </x:c>
      <x:c r="I11" s="16" t="str"/>
      <x:c r="J11" s="16" t="str"/>
    </x:row>
    <x:row r="12" ht="15" hidden="0" customHeight="1">
      <x:c r="A12" s="17" t="str">
        <x:v>EV-008</x:v>
      </x:c>
      <x:c r="B12" s="16" t="str">
        <x:v>6/9</x:v>
      </x:c>
      <x:c r="C12" s="16" t="str">
        <x:v>FR-CAN-001~020, FR-CAN-028</x:v>
      </x:c>
      <x:c r="D12" s="16" t="str">
        <x:v>CANalyzer virtual CAN</x:v>
      </x:c>
      <x:c r="E12" s="16" t="str">
        <x:v>Periodic Snapshot Quantity 6</x:v>
      </x:c>
      <x:c r="F12" s="16" t="str">
        <x:v>0x80 Header 1 + Data 2, 마지막 DLC 4</x:v>
      </x:c>
      <x:c r="G12" s="16" t="str"/>
      <x:c r="H12" s="16" t="str">
        <x:v>Not Tested</x:v>
      </x:c>
      <x:c r="I12" s="16" t="str"/>
      <x:c r="J12" s="16" t="str"/>
    </x:row>
    <x:row r="13" ht="15" hidden="0" customHeight="1">
      <x:c r="A13" s="17" t="str">
        <x:v>EV-009</x:v>
      </x:c>
      <x:c r="B13" s="16" t="str">
        <x:v>6/9</x:v>
      </x:c>
      <x:c r="C13" s="16" t="str">
        <x:v>FR-CAN-021, FR-CAN-029~031</x:v>
      </x:c>
      <x:c r="D13" s="16" t="str">
        <x:v>Board + Panel + CAN Trace</x:v>
      </x:c>
      <x:c r="E13" s="16" t="str">
        <x:v>RTU/Direct/Reset 변경 Snapshot</x:v>
      </x:c>
      <x:c r="F13" s="16" t="str">
        <x:v>0x81 SourceType 01/02/03 및 변경 당시 값 보존</x:v>
      </x:c>
      <x:c r="G13" s="16" t="str"/>
      <x:c r="H13" s="16" t="str">
        <x:v>Not Tested</x:v>
      </x:c>
      <x:c r="I13" s="16" t="str"/>
      <x:c r="J13" s="16" t="str"/>
    </x:row>
    <x:row r="14" ht="15" hidden="0" customHeight="1">
      <x:c r="A14" s="17" t="str">
        <x:v>EV-010</x:v>
      </x:c>
      <x:c r="B14" s="16" t="str">
        <x:v>6/9</x:v>
      </x:c>
      <x:c r="C14" s="16" t="str">
        <x:v>FR-CAN-034~041</x:v>
      </x:c>
      <x:c r="D14" s="16" t="str">
        <x:v>1~4 virtual CAN channels</x:v>
      </x:c>
      <x:c r="E14" s="16" t="str">
        <x:v>여러 활성 Port 동시 Change Burst</x:v>
      </x:c>
      <x:c r="F14" s="16" t="str">
        <x:v>활성 Port Round-robin, Port 내부 FIFO, Snapshot 묶음 비분할</x:v>
      </x:c>
      <x:c r="G14" s="16" t="str"/>
      <x:c r="H14" s="16" t="str">
        <x:v>Not Tested</x:v>
      </x:c>
      <x:c r="I14" s="16" t="str"/>
      <x:c r="J14" s="16" t="str"/>
    </x:row>
    <x:row r="15" ht="26.399999618530273" hidden="0" customHeight="1">
      <x:c r="A15" s="17" t="str">
        <x:v>EV-011</x:v>
      </x:c>
      <x:c r="B15" s="16" t="str">
        <x:v>9/10</x:v>
      </x:c>
      <x:c r="C15" s="16" t="str">
        <x:v>FR-CAN-051~057, FR-LOAD-010, FR-LOAD-017</x:v>
      </x:c>
      <x:c r="D15" s="16" t="str">
        <x:v>CANalyzer Panel</x:v>
      </x:c>
      <x:c r="E15" s="16" t="str">
        <x:v>ReadSwitch OFF/ON 및 ReadOption 변경</x:v>
      </x:c>
      <x:c r="F15" s="16" t="str">
        <x:v>OFF 중 RTU 유지·CAN 억제, 다음 Cycle에 Candidate 원자 반영</x:v>
      </x:c>
      <x:c r="G15" s="16" t="str"/>
      <x:c r="H15" s="16" t="str">
        <x:v>Not Tested</x:v>
      </x:c>
      <x:c r="I15" s="16" t="str"/>
      <x:c r="J15" s="16" t="str"/>
    </x:row>
    <x:row r="16" ht="26.399999618530273" hidden="0" customHeight="1">
      <x:c r="A16" s="17" t="str">
        <x:v>EV-012</x:v>
      </x:c>
      <x:c r="B16" s="16" t="str">
        <x:v>10</x:v>
      </x:c>
      <x:c r="C16" s="16" t="str">
        <x:v>FR-UI-003~005, FR-UI-008~013, TBD-063</x:v>
      </x:c>
      <x:c r="D16" s="16" t="str">
        <x:v>CANalyzer Panel</x:v>
      </x:c>
      <x:c r="E16" s="16" t="str">
        <x:v>Manual Write Data[122] 및 Signal Control</x:v>
      </x:c>
      <x:c r="F16" s="16" t="str">
        <x:v>Send 시 요청 Snapshot 사용, Quantity 1~122와 word 범위 검증, ResultCode 표시</x:v>
      </x:c>
      <x:c r="G16" s="16" t="str"/>
      <x:c r="H16" s="16" t="str">
        <x:v>Not Tested</x:v>
      </x:c>
      <x:c r="I16" s="16" t="str"/>
      <x:c r="J16" s="16" t="str"/>
    </x:row>
    <x:row r="17" ht="15" hidden="0" customHeight="1">
      <x:c r="A17" s="17" t="str">
        <x:v>EV-013</x:v>
      </x:c>
      <x:c r="B17" s="16" t="str">
        <x:v>10</x:v>
      </x:c>
      <x:c r="C17" s="16" t="str">
        <x:v>FR-UI-002, FR-SIG-001~040</x:v>
      </x:c>
      <x:c r="D17" s="16" t="str">
        <x:v>CANalyzer Panel</x:v>
      </x:c>
      <x:c r="E17" s="16" t="str">
        <x:v>Signal Float/Signed Read/Write</x:v>
      </x:c>
      <x:c r="F17" s="16" t="str">
        <x:v>12.5 등 물리값 왕복, 실패 시 현재 출력 유지</x:v>
      </x:c>
      <x:c r="G17" s="16" t="str"/>
      <x:c r="H17" s="16" t="str">
        <x:v>Not Tested</x:v>
      </x:c>
      <x:c r="I17" s="16" t="str"/>
      <x:c r="J17" s="16" t="str"/>
    </x:row>
    <x:row r="18" ht="26.399999618530273" hidden="0" customHeight="1">
      <x:c r="A18" s="17" t="str">
        <x:v>EV-014</x:v>
      </x:c>
      <x:c r="B18" s="16" t="str">
        <x:v>7/8</x:v>
      </x:c>
      <x:c r="C18" s="16" t="str">
        <x:v>FR-LIFE-023~031, FR-LIFE-033</x:v>
      </x:c>
      <x:c r="D18" s="16" t="str">
        <x:v>Multi USB 485 removal</x:v>
      </x:c>
      <x:c r="E18" s="16" t="str">
        <x:v>한 USB-RS485 Port 제거 후 복구</x:v>
      </x:c>
      <x:c r="F18" s="16" t="str">
        <x:v>전체 정리 후 3초 간격 최대 10회; 복구 시 모든 활성 Port Connected</x:v>
      </x:c>
      <x:c r="G18" s="16" t="str"/>
      <x:c r="H18" s="16" t="str">
        <x:v>Not Tested</x:v>
      </x:c>
      <x:c r="I18" s="16" t="str"/>
      <x:c r="J18" s="16" t="str"/>
    </x:row>
    <x:row r="19" ht="15" hidden="0" customHeight="1">
      <x:c r="A19" s="17" t="str">
        <x:v>EV-015</x:v>
      </x:c>
      <x:c r="B19" s="16" t="str">
        <x:v>8</x:v>
      </x:c>
      <x:c r="C19" s="16" t="str">
        <x:v>FR-LIFE-017~022, PERF-022</x:v>
      </x:c>
      <x:c r="D19" s="16" t="str">
        <x:v>CANalyzer + Process monitor</x:v>
      </x:c>
      <x:c r="E19" s="16" t="str">
        <x:v>Disconnect/Connect와 Finalize</x:v>
      </x:c>
      <x:c r="F19" s="16" t="str">
        <x:v>Disconnect 값 보존; Finalize Join/Close 후 Context 폐기</x:v>
      </x:c>
      <x:c r="G19" s="16" t="str"/>
      <x:c r="H19" s="16" t="str">
        <x:v>Not Tested</x:v>
      </x:c>
      <x:c r="I19" s="16" t="str"/>
      <x:c r="J19" s="16" t="str"/>
    </x:row>
    <x:row r="20" ht="39.599998474121094" hidden="0" customHeight="1">
      <x:c r="A20" s="17" t="str">
        <x:v>EV-016</x:v>
      </x:c>
      <x:c r="B20" s="16" t="str">
        <x:v>6/9/10</x:v>
      </x:c>
      <x:c r="C20" s="16" t="str">
        <x:v>PERF-004~021, LOG-011~017, REQ-DIAG-002, TBD-027, TBD-030, TBD-039</x:v>
      </x:c>
      <x:c r="D20" s="16" t="str">
        <x:v>200 Rule stress profile</x:v>
      </x:c>
      <x:c r="E20" s="16" t="str">
        <x:v>200 Rule, Quantity 125, 0x81 Burst 및 Error Queue overflow</x:v>
      </x:c>
      <x:c r="F20" s="16" t="str">
        <x:v>RTU 영향 없이 0x81 100ms/0x80 1000ms 목표를 유지하고 DropCount 또는 OverflowLatch 변화 시 CAPL이 Pending/Capacity/High-water를 한 번 진단</x:v>
      </x:c>
      <x:c r="G20" s="16" t="str"/>
      <x:c r="H20" s="16" t="str">
        <x:v>Not Tested</x:v>
      </x:c>
      <x:c r="I20" s="16" t="str"/>
      <x:c r="J20" s="16" t="str"/>
    </x:row>
    <x:row r="21" ht="26.399999618530273" hidden="0" customHeight="1">
      <x:c r="A21" s="17" t="str">
        <x:v>EV-017</x:v>
      </x:c>
      <x:c r="B21" s="16" t="str">
        <x:v>5/7/10</x:v>
      </x:c>
      <x:c r="C21" s="16" t="str">
        <x:v>FR-RTU-036~039, FR-UI-019~020</x:v>
      </x:c>
      <x:c r="D21" s="16" t="str">
        <x:v>CANalyzer Panel + Board + Serial trace</x:v>
      </x:c>
      <x:c r="E21" s="16" t="str">
        <x:v>Index별 RTU 통신 OFF/ON</x:v>
      </x:c>
      <x:c r="F21" s="16" t="str">
        <x:v>비활성 Index는 FC03/04/10 무응답·무변경; 동일 Port의 다른 Slave와 Direct/CAN은 유지; Refresh 성공 후 활성화</x:v>
      </x:c>
      <x:c r="G21" s="16" t="str"/>
      <x:c r="H21" s="16" t="str">
        <x:v>Not Tested</x:v>
      </x:c>
      <x:c r="I21" s="16" t="str"/>
      <x:c r="J21" s="16" t="str"/>
    </x:row>
    <x:row r="22" ht="26.399999618530273" hidden="0" customHeight="1">
      <x:c r="A22" s="17" t="str">
        <x:v>EV-018</x:v>
      </x:c>
      <x:c r="B22" s="16" t="str">
        <x:v>7/10</x:v>
      </x:c>
      <x:c r="C22" s="16" t="str">
        <x:v>FR-UI-021, LOG-018~024, IF-API-024~026</x:v>
      </x:c>
      <x:c r="D22" s="16" t="str">
        <x:v>CANalyzer Panel + CSV</x:v>
      </x:c>
      <x:c r="E22" s="16" t="str">
        <x:v>RTU Log OFF→ON, 정상·무응답·용량 경계</x:v>
      </x:c>
      <x:c r="F22" s="16" t="str">
        <x:v>새 파일 생성; REQ/RES 또는 REQ/NO_RES 동일 Sequence; 12 Column·전체 ADU·DroppedCount·ActiveLed 확인</x:v>
      </x:c>
      <x:c r="G22" s="16" t="str"/>
      <x:c r="H22" s="16" t="str">
        <x:v>Not Tested</x:v>
      </x:c>
      <x:c r="I22" s="16" t="str"/>
      <x:c r="J22" s="16" t="str"/>
    </x:row>
  </x:sheetData>
  <x:mergeCells>
    <x:mergeCell ref="A1:J1"/>
    <x:mergeCell ref="A2:J2"/>
  </x:mergeCells>
  <x:conditionalFormatting sqref="H5:H22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"Not Tested"</x:formula>
    </x:cfRule>
  </x:conditionalFormatting>
  <x:dataValidations count="1">
    <x:dataValidation type="list" sqref="H5:H22">
      <x:formula1>"Not Tested,PASS,FAIL,Blocked,N/A"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58" hidden="0" customWidth="1"/>
    <x:col min="4" max="4" width="36" hidden="0" customWidth="1"/>
  </x:cols>
  <x:sheetData>
    <x:row r="1">
      <x:c r="A1" s="2" t="str">
        <x:v>Test Environment</x:v>
      </x:c>
      <x:c r="B1" s="2"/>
      <x:c r="C1" s="2"/>
      <x:c r="D1" s="2"/>
    </x:row>
    <x:row r="3">
      <x:c r="A3" s="11" t="str">
        <x:v>Category</x:v>
      </x:c>
      <x:c r="B3" s="11" t="str">
        <x:v>Item</x:v>
      </x:c>
      <x:c r="C3" s="11" t="str">
        <x:v>Value</x:v>
      </x:c>
      <x:c r="D3" s="11" t="str">
        <x:v>Evidence / Notes</x:v>
      </x:c>
    </x:row>
    <x:row r="4" ht="15" hidden="0" customHeight="1">
      <x:c r="A4" s="16" t="str">
        <x:v>Baseline</x:v>
      </x:c>
      <x:c r="B4" s="16" t="str">
        <x:v>Release Version</x:v>
      </x:c>
      <x:c r="C4" s="16" t="str">
        <x:v>0.3.0</x:v>
      </x:c>
      <x:c r="D4" s="16" t="str">
        <x:v>Release Baseline</x:v>
      </x:c>
    </x:row>
    <x:row r="5" ht="15" hidden="0" customHeight="1">
      <x:c r="A5" s="16" t="str">
        <x:v>Baseline</x:v>
      </x:c>
      <x:c r="B5" s="16" t="str">
        <x:v>Baseline Date</x:v>
      </x:c>
      <x:c r="C5" s="16" t="str">
        <x:v>2026-08-12</x:v>
      </x:c>
      <x:c r="D5" s="16" t="str">
        <x:v>docs/REQUIREMENTS_SPEC.md</x:v>
      </x:c>
    </x:row>
    <x:row r="6" ht="15" hidden="0" customHeight="1">
      <x:c r="A6" s="16" t="str">
        <x:v>Baseline</x:v>
      </x:c>
      <x:c r="B6" s="16" t="str">
        <x:v>Git Commit</x:v>
      </x:c>
      <x:c r="C6" s="16" t="str"/>
      <x:c r="D6" s="16" t="str"/>
    </x:row>
    <x:row r="7" ht="15" hidden="0" customHeight="1">
      <x:c r="A7" s="16" t="str">
        <x:v>Baseline</x:v>
      </x:c>
      <x:c r="B7" s="16" t="str">
        <x:v>M485E.dll SHA-256</x:v>
      </x:c>
      <x:c r="C7" s="16" t="str"/>
      <x:c r="D7" s="16" t="str"/>
    </x:row>
    <x:row r="8" ht="26.399999618530273" hidden="0" customHeight="1">
      <x:c r="A8" s="16" t="str">
        <x:v>Baseline</x:v>
      </x:c>
      <x:c r="B8" s="16" t="str">
        <x:v>Generated Contracts</x:v>
      </x:c>
      <x:c r="C8" s="16" t="str">
        <x:v>ErrorCodes=92; PublicConstants=207</x:v>
      </x:c>
      <x:c r="D8" s="16" t="str">
        <x:v>tests/contracts/Test-M485EContractGeneration.ps1</x:v>
      </x:c>
    </x:row>
    <x:row r="9" ht="15" hidden="0" customHeight="1">
      <x:c r="A9" s="16" t="str">
        <x:v>CANalyzer</x:v>
      </x:c>
      <x:c r="B9" s="16" t="str">
        <x:v>Version / Service Pack</x:v>
      </x:c>
      <x:c r="C9" s="16" t="str">
        <x:v>CANalyzer 9.x SP8 x86 / CANalyzer 18 x64</x:v>
      </x:c>
      <x:c r="D9" s="16" t="str"/>
    </x:row>
    <x:row r="10" ht="15" hidden="0" customHeight="1">
      <x:c r="A10" s="16" t="str">
        <x:v>Vector</x:v>
      </x:c>
      <x:c r="B10" s="16" t="str">
        <x:v>Driver / License</x:v>
      </x:c>
      <x:c r="C10" s="16" t="str"/>
      <x:c r="D10" s="16" t="str"/>
    </x:row>
    <x:row r="11" ht="15" hidden="0" customHeight="1">
      <x:c r="A11" s="16" t="str">
        <x:v>Adapter</x:v>
      </x:c>
      <x:c r="B11" s="16" t="str">
        <x:v>Model</x:v>
      </x:c>
      <x:c r="C11" s="16" t="str">
        <x:v>SystemBase Multi USB 485</x:v>
      </x:c>
      <x:c r="D11" s="16" t="str">
        <x:v>Automatic direction control</x:v>
      </x:c>
    </x:row>
    <x:row r="12" ht="15" hidden="0" customHeight="1">
      <x:c r="A12" s="16" t="str">
        <x:v>Serial Port 0</x:v>
      </x:c>
      <x:c r="B12" s="16" t="str">
        <x:v>COM / Baud / Data / Parity / Stop</x:v>
      </x:c>
      <x:c r="C12" s="16" t="str"/>
      <x:c r="D12" s="16" t="str"/>
    </x:row>
    <x:row r="13" ht="15" hidden="0" customHeight="1">
      <x:c r="A13" s="16" t="str">
        <x:v>Serial Port 1</x:v>
      </x:c>
      <x:c r="B13" s="16" t="str">
        <x:v>COM / Baud / Data / Parity / Stop</x:v>
      </x:c>
      <x:c r="C13" s="16" t="str"/>
      <x:c r="D13" s="16" t="str"/>
    </x:row>
    <x:row r="14" ht="15" hidden="0" customHeight="1">
      <x:c r="A14" s="16" t="str">
        <x:v>Serial Port 2</x:v>
      </x:c>
      <x:c r="B14" s="16" t="str">
        <x:v>COM / Baud / Data / Parity / Stop</x:v>
      </x:c>
      <x:c r="C14" s="16" t="str"/>
      <x:c r="D14" s="16" t="str"/>
    </x:row>
    <x:row r="15" ht="15" hidden="0" customHeight="1">
      <x:c r="A15" s="16" t="str">
        <x:v>Serial Port 3</x:v>
      </x:c>
      <x:c r="B15" s="16" t="str">
        <x:v>COM / Baud / Data / Parity / Stop</x:v>
      </x:c>
      <x:c r="C15" s="16" t="str"/>
      <x:c r="D15" s="16" t="str"/>
    </x:row>
    <x:row r="16" ht="15" hidden="0" customHeight="1">
      <x:c r="A16" s="16" t="str">
        <x:v>Board</x:v>
      </x:c>
      <x:c r="B16" s="16" t="str">
        <x:v>Model / Firmware</x:v>
      </x:c>
      <x:c r="C16" s="16" t="str"/>
      <x:c r="D16" s="16" t="str"/>
    </x:row>
    <x:row r="17" ht="15" hidden="0" customHeight="1">
      <x:c r="A17" s="16" t="str">
        <x:v>Board</x:v>
      </x:c>
      <x:c r="B17" s="16" t="str">
        <x:v>Modbus Master Response Timeout</x:v>
      </x:c>
      <x:c r="C17" s="16" t="str"/>
      <x:c r="D17" s="16" t="str">
        <x:v>ms</x:v>
      </x:c>
    </x:row>
    <x:row r="18" ht="15" hidden="0" customHeight="1">
      <x:c r="A18" s="16" t="str">
        <x:v>CAN</x:v>
      </x:c>
      <x:c r="B18" s="16" t="str">
        <x:v>Channel mapping</x:v>
      </x:c>
      <x:c r="C18" s="16" t="str">
        <x:v>PortSlot 0~3→Virtual CAN 1~4 (활성 Port만)</x:v>
      </x:c>
      <x:c r="D18" s="16" t="str"/>
    </x:row>
    <x:row r="19" ht="15" hidden="0" customHeight="1">
      <x:c r="A19" s="16" t="str">
        <x:v>Test</x:v>
      </x:c>
      <x:c r="B19" s="16" t="str">
        <x:v>Operator / Date</x:v>
      </x:c>
      <x:c r="C19" s="16" t="str"/>
      <x:c r="D19" s="16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34" hidden="0" customWidth="1"/>
  </x:cols>
  <x:sheetData>
    <x:row r="1">
      <x:c r="A1" s="2" t="str">
        <x:v>External Verification Summary</x:v>
      </x:c>
      <x:c r="B1" s="2"/>
      <x:c r="C1" s="2"/>
      <x:c r="D1" s="2"/>
    </x:row>
    <x:row r="3">
      <x:c r="A3" s="10" t="str">
        <x:v>Result</x:v>
      </x:c>
      <x:c r="B3" s="10" t="str">
        <x:v>Count</x:v>
      </x:c>
    </x:row>
    <x:row r="4">
      <x:c r="A4" s="14" t="str">
        <x:v>Not Tested</x:v>
      </x:c>
      <x:c r="B4" s="14" t="n">
        <x:f>COUNTIF('Test Results'!$H$5:$H$22,A4)</x:f>
        <x:v>18</x:v>
      </x:c>
    </x:row>
    <x:row r="5">
      <x:c r="A5" s="14" t="str">
        <x:v>PASS</x:v>
      </x:c>
      <x:c r="B5" s="14" t="n">
        <x:f>COUNTIF('Test Results'!$H$5:$H$22,A5)</x:f>
        <x:v>0</x:v>
      </x:c>
    </x:row>
    <x:row r="6">
      <x:c r="A6" s="14" t="str">
        <x:v>FAIL</x:v>
      </x:c>
      <x:c r="B6" s="14" t="n">
        <x:f>COUNTIF('Test Results'!$H$5:$H$22,A6)</x:f>
        <x:v>0</x:v>
      </x:c>
    </x:row>
    <x:row r="7">
      <x:c r="A7" s="14" t="str">
        <x:v>Blocked</x:v>
      </x:c>
      <x:c r="B7" s="14" t="n">
        <x:f>COUNTIF('Test Results'!$H$5:$H$22,A7)</x:f>
        <x:v>0</x:v>
      </x:c>
    </x:row>
    <x:row r="8">
      <x:c r="A8" s="14" t="str">
        <x:v>N/A</x:v>
      </x:c>
      <x:c r="B8" s="14" t="n">
        <x:f>COUNTIF('Test Results'!$H$5:$H$22,A8)</x:f>
        <x:v>0</x:v>
      </x:c>
    </x:row>
    <x:row r="10">
      <x:c r="A10" s="10" t="str">
        <x:v>Rule</x:v>
      </x:c>
      <x:c r="B10" s="10" t="str">
        <x:v>PASS</x:v>
      </x:c>
      <x:c r="C10" s="10" t="str">
        <x:v>FAIL</x:v>
      </x:c>
      <x:c r="D10" s="10" t="str">
        <x:v>Pending</x:v>
      </x:c>
    </x:row>
    <x:row r="11">
      <x:c r="A11" s="15" t="str">
        <x:v>판정 원칙</x:v>
      </x:c>
      <x:c r="B11" s="15" t="str">
        <x:v>Expected Result + Evidence</x:v>
      </x:c>
      <x:c r="C11" s="15" t="str">
        <x:v>Actual Result에 원인 기록</x:v>
      </x:c>
      <x:c r="D11" s="15" t="str">
        <x:v>Not Tested는 PASS 추정 금지</x:v>
      </x:c>
    </x:row>
  </x:sheetData>
  <x:mergeCells>
    <x:mergeCell ref="A1:D1"/>
  </x:mergeCells>
  <x:pageMargins left="0.7" right="0.7" top="0.75" bottom="0.75" header="0.3" footer="0.3"/>
</x:worksheet>
</file>